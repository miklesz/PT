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829e0d7a6b4fe1" /></Relationships>
</file>

<file path=xl/workbook.xml><?xml version="1.0" encoding="utf-8"?>
<x:workbook xmlns:x="http://schemas.openxmlformats.org/spreadsheetml/2006/main">
  <x:sheets>
    <x:sheet xmlns:r="http://schemas.openxmlformats.org/officeDocument/2006/relationships" name="Project Plan" sheetId="1" r:id="R002ce80a2bc24f76"/>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<x:sst xmlns:x="http://schemas.openxmlformats.org/spreadsheetml/2006/main">
  <x:si>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</x:si>
  <x:si>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</x:si>
  <x:si>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</x:si>
  <x:si>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</x:si>
  <x:si>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Project Title</x:t>
  </x:si>
  <x:si>
    <x:t xml:space="preserve">Aurora Launch</x:t>
  </x:si>
  <x:si>
    <x:t xml:space="preserve">Project Manager</x:t>
  </x:si>
  <x:si>
    <x:t xml:space="preserve">Jordan Lee</x:t>
  </x:si>
  <x:si>
    <x:t xml:space="preserve">TOTAL TASKS</x:t>
  </x:si>
  <x:si>
    <x:t xml:space="preserve">COMPLETE</x:t>
  </x:si>
  <x:si>
    <x:t xml:space="preserve">IN PROGRESS</x:t>
  </x:si>
  <x:si>
    <x:t xml:space="preserve">AT RISK</x:t>
  </x:si>
  <x:si>
    <x:t xml:space="preserve">P0 TASKS</x:t>
  </x:si>
  <x:si>
    <x:t xml:space="preserve">Company Name</x:t>
  </x:si>
  <x:si>
    <x:t xml:space="preserve">Northstar Labs</x:t>
  </x:si>
  <x:si>
    <x:t xml:space="preserve">Timeline Start</x:t>
  </x:si>
  <x:si>
    <x:t xml:space="preserve">WORKSTREAM PLAN</x:t>
  </x:si>
  <x:si>
    <x:t xml:space="preserve">GANTT — 20-WEEK VIEW</x:t>
  </x:si>
  <x:si>
    <x:t xml:space="preserve">Workstream</x:t>
  </x:si>
  <x:si>
    <x:t xml:space="preserve">Task</x:t>
  </x:si>
  <x:si>
    <x:t xml:space="preserve">Owner</x:t>
  </x:si>
  <x:si>
    <x:t xml:space="preserve">Status</x:t>
  </x:si>
  <x:si>
    <x:t xml:space="preserve">Priority</x:t>
  </x:si>
  <x:si>
    <x:t xml:space="preserve">Start Date</x:t>
  </x:si>
  <x:si>
    <x:t xml:space="preserve">End Date</x:t>
  </x:si>
  <x:si>
    <x:t xml:space="preserve">Days</x:t>
  </x:si>
  <x:si>
    <x:t xml:space="preserve">Tip: edit yellow profile fields or the task table. Blue cells input to Gantt. Start Date, End Date, Status, and Priority drive duration, launch pulse, and weekly Gantt. Blank or invalid date rows stay unformatted. Synthetic illustrative data for template use.</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</x:si>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</x:sst>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5">
    <x:numFmt numFmtId="164" formatCode="mmm\ d\,\ yyyy"/>
    <x:numFmt numFmtId="165" formatCode="#,##0;[Red]\(#,##0\);\-"/>
    <x:numFmt numFmtId="166" formatCode="mmm\ d"/>
    <x:numFmt numFmtId="167" formatCode=";;;"/>
    <x:numFmt numFmtId="200" formatCode="yyyy-mm-dd"/>
  </x:numFmts>
  <x:fonts count="15">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s>
  <x:fills count="9">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s>
  <x:borders count="14">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s>
  <x:cellStyleXfs count="1">
    <x:xf numFmtId="0" fontId="0" fillId="0" borderId="0"/>
  </x:cellStyleXfs>
  <x:cellXfs count="52">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200" fontId="14" fillId="7" borderId="1" xfId="0" applyNumberFormat="1" applyFont="1" applyFill="1" applyBorder="1" applyAlignment="1">
      <x:alignment horizontal="center" vertical="center"/>
    </x:xf>
    <x:xf numFmtId="200" fontId="14" fillId="4" borderId="1" xfId="0" applyNumberFormat="1" applyFont="1" applyFill="1" applyBorder="1" applyAlignment="1">
      <x:alignment horizontal="center" vertical="center"/>
    </x:xf>
    <x:xf numFmtId="200" fontId="11" fillId="4" borderId="1" xfId="0" applyNumberFormat="1" applyFont="1" applyFill="1" applyBorder="1" applyAlignment="1">
      <x:alignment horizontal="center" vertical="center"/>
    </x:xf>
    <x:xf numFmtId="200" fontId="11" fillId="7" borderId="1" xfId="0" applyNumberFormat="1" applyFont="1" applyFill="1" applyBorder="1" applyAlignment="1">
      <x:alignment horizontal="center" vertical="center"/>
    </x:xf>
  </x:cellXfs>
  <x:cellStyles count="1">
    <x:cellStyle name="Normal" xfId="0"/>
  </x:cellStyles>
  <x:dxfs count="11">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8ace3759ae4614" /><Relationship Type="http://schemas.openxmlformats.org/officeDocument/2006/relationships/theme" Target="/xl/theme/theme1.xml" Id="Rb5be4a011963490a" /><Relationship Type="http://schemas.openxmlformats.org/officeDocument/2006/relationships/sharedStrings" Target="/xl/sharedStrings.xml" Id="Rbda73c5fd3e84e08" /><Relationship Type="http://schemas.openxmlformats.org/officeDocument/2006/relationships/worksheet" Target="/xl/worksheets/sheet1.xml" Id="R002ce80a2bc24f7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
        <x:v>0</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
        <x:v>1</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
        <x:v>2</x:v>
      </x:c>
      <x:c r="C4" s="21" t="s">
        <x:v>2</x:v>
      </x:c>
      <x:c r="D4" s="21" t="s">
        <x:v>2</x:v>
      </x:c>
      <x:c r="E4" s="21" t="s">
        <x:v>2</x:v>
      </x:c>
      <x:c r="F4" s="21" t="s">
        <x:v>2</x:v>
      </x:c>
      <x:c r="G4" s="21" t="s">
        <x:v>2</x:v>
      </x:c>
      <x:c r="H4" s="21" t="s">
        <x:v>2</x:v>
      </x:c>
      <x:c r="I4" s="21" t="s">
        <x:v>2</x:v>
      </x:c>
      <x:c r="J4" s="15"/>
      <x:c r="K4" s="21" t="s">
        <x:v>3</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
        <x:v>4</x:v>
      </x:c>
      <x:c r="C5" s="22" t="str">
        <x:v>PT Lecture Rebuild</x:v>
      </x:c>
      <x:c r="D5" s="22" t="s">
        <x:v>5</x:v>
      </x:c>
      <x:c r="E5" s="22" t="s">
        <x:v>5</x:v>
      </x:c>
      <x:c r="F5" s="27" t="s">
        <x:v>6</x:v>
      </x:c>
      <x:c r="G5" s="28"/>
      <x:c r="H5" s="23" t="str">
        <x:v>Mikołaj Leszczuk</x:v>
      </x:c>
      <x:c r="I5" s="23" t="s">
        <x:v>7</x:v>
      </x:c>
      <x:c r="J5" s="15"/>
      <x:c r="K5" s="24" t="s">
        <x:v>8</x:v>
      </x:c>
      <x:c r="L5" s="25" t="s">
        <x:v>8</x:v>
      </x:c>
      <x:c r="M5" s="25" t="s">
        <x:v>8</x:v>
      </x:c>
      <x:c r="N5" s="26" t="s">
        <x:v>8</x:v>
      </x:c>
      <x:c r="O5" s="24" t="s">
        <x:v>9</x:v>
      </x:c>
      <x:c r="P5" s="25" t="s">
        <x:v>9</x:v>
      </x:c>
      <x:c r="Q5" s="25" t="s">
        <x:v>9</x:v>
      </x:c>
      <x:c r="R5" s="26" t="s">
        <x:v>9</x:v>
      </x:c>
      <x:c r="S5" s="24" t="s">
        <x:v>10</x:v>
      </x:c>
      <x:c r="T5" s="25" t="s">
        <x:v>10</x:v>
      </x:c>
      <x:c r="U5" s="25" t="s">
        <x:v>10</x:v>
      </x:c>
      <x:c r="V5" s="26" t="s">
        <x:v>10</x:v>
      </x:c>
      <x:c r="W5" s="24" t="s">
        <x:v>11</x:v>
      </x:c>
      <x:c r="X5" s="25" t="s">
        <x:v>11</x:v>
      </x:c>
      <x:c r="Y5" s="25" t="s">
        <x:v>11</x:v>
      </x:c>
      <x:c r="Z5" s="26" t="s">
        <x:v>11</x:v>
      </x:c>
      <x:c r="AA5" s="24" t="s">
        <x:v>12</x:v>
      </x:c>
      <x:c r="AB5" s="25" t="s">
        <x:v>12</x:v>
      </x:c>
      <x:c r="AC5" s="25" t="s">
        <x:v>12</x:v>
      </x:c>
      <x:c r="AD5" s="26" t="s">
        <x:v>12</x:v>
      </x:c>
    </x:row>
    <x:row r="6" ht="22" customHeight="1">
      <x:c r="B6" s="18" t="s">
        <x:v>13</x:v>
      </x:c>
      <x:c r="C6" s="23" t="str">
        <x:v>Courses/PT</x:v>
      </x:c>
      <x:c r="D6" s="23" t="s">
        <x:v>14</x:v>
      </x:c>
      <x:c r="E6" s="23" t="s">
        <x:v>14</x:v>
      </x:c>
      <x:c r="F6" s="27" t="s">
        <x:v>15</x:v>
      </x:c>
      <x:c r="G6" s="28"/>
      <x:c r="H6" s="41" t="n">
        <x:v>46286</x:v>
      </x:c>
      <x:c r="I6" s="41">
        <x:v>46209</x:v>
      </x:c>
      <x:c r="J6" s="15"/>
      <x:c r="K6" s="42" t="n">
        <x:f>COUNTA($C$10:$C$39)</x:f>
        <x:v>12</x:v>
      </x:c>
      <x:c r="L6" s="43"/>
      <x:c r="M6" s="43"/>
      <x:c r="N6" s="44"/>
      <x:c r="O6" s="45" t="n">
        <x:f>COUNTIF($E$10:$E$39,"Complete")</x:f>
        <x:v>11</x:v>
      </x:c>
      <x:c r="P6" s="46"/>
      <x:c r="Q6" s="46"/>
      <x:c r="R6" s="47"/>
      <x:c r="S6" s="35" t="n">
        <x:f>COUNTIF($E$10:$E$39,"In Progress")</x:f>
        <x:v>0</x:v>
      </x:c>
      <x:c r="T6" s="36"/>
      <x:c r="U6" s="36"/>
      <x:c r="V6" s="37"/>
      <x:c r="W6" s="38" t="n">
        <x:f>COUNTIF($E$10:$E$39,"At Risk")</x:f>
        <x:v>0</x:v>
      </x:c>
      <x:c r="X6" s="39"/>
      <x:c r="Y6" s="39"/>
      <x:c r="Z6" s="40"/>
      <x:c r="AA6" s="38" t="n">
        <x:f>COUNTIF($F$10:$F$39,"P0")</x:f>
        <x:v>0</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
        <x:v>16</x:v>
      </x:c>
      <x:c r="C8" s="21" t="s">
        <x:v>16</x:v>
      </x:c>
      <x:c r="D8" s="21" t="s">
        <x:v>16</x:v>
      </x:c>
      <x:c r="E8" s="21" t="s">
        <x:v>16</x:v>
      </x:c>
      <x:c r="F8" s="21" t="s">
        <x:v>16</x:v>
      </x:c>
      <x:c r="G8" s="21" t="s">
        <x:v>16</x:v>
      </x:c>
      <x:c r="H8" s="21" t="s">
        <x:v>16</x:v>
      </x:c>
      <x:c r="I8" s="21" t="s">
        <x:v>16</x:v>
      </x:c>
      <x:c r="J8" s="15"/>
      <x:c r="K8" s="21" t="s">
        <x:v>17</x:v>
      </x:c>
      <x:c r="L8" s="21" t="s">
        <x:v>17</x:v>
      </x:c>
      <x:c r="M8" s="21" t="s">
        <x:v>17</x:v>
      </x:c>
      <x:c r="N8" s="21" t="s">
        <x:v>17</x:v>
      </x:c>
      <x:c r="O8" s="21" t="s">
        <x:v>17</x:v>
      </x:c>
      <x:c r="P8" s="21" t="s">
        <x:v>17</x:v>
      </x:c>
      <x:c r="Q8" s="21" t="s">
        <x:v>17</x:v>
      </x:c>
      <x:c r="R8" s="21" t="s">
        <x:v>17</x:v>
      </x:c>
      <x:c r="S8" s="21" t="s">
        <x:v>17</x:v>
      </x:c>
      <x:c r="T8" s="21" t="s">
        <x:v>17</x:v>
      </x:c>
      <x:c r="U8" s="21" t="s">
        <x:v>17</x:v>
      </x:c>
      <x:c r="V8" s="21" t="s">
        <x:v>17</x:v>
      </x:c>
      <x:c r="W8" s="21" t="s">
        <x:v>17</x:v>
      </x:c>
      <x:c r="X8" s="21" t="s">
        <x:v>17</x:v>
      </x:c>
      <x:c r="Y8" s="21" t="s">
        <x:v>17</x:v>
      </x:c>
      <x:c r="Z8" s="21" t="s">
        <x:v>17</x:v>
      </x:c>
      <x:c r="AA8" s="21" t="s">
        <x:v>17</x:v>
      </x:c>
      <x:c r="AB8" s="21" t="s">
        <x:v>17</x:v>
      </x:c>
      <x:c r="AC8" s="21" t="s">
        <x:v>17</x:v>
      </x:c>
      <x:c r="AD8" s="21" t="s">
        <x:v>17</x:v>
      </x:c>
    </x:row>
    <x:row r="9" ht="28" customHeight="1">
      <x:c r="B9" s="1" t="s">
        <x:v>18</x:v>
      </x:c>
      <x:c r="C9" s="1" t="s">
        <x:v>19</x:v>
      </x:c>
      <x:c r="D9" s="1" t="s">
        <x:v>20</x:v>
      </x:c>
      <x:c r="E9" s="1" t="s">
        <x:v>21</x:v>
      </x:c>
      <x:c r="F9" s="1" t="s">
        <x:v>22</x:v>
      </x:c>
      <x:c r="G9" s="1" t="s">
        <x:v>23</x:v>
      </x:c>
      <x:c r="H9" s="1" t="s">
        <x:v>24</x:v>
      </x:c>
      <x:c r="I9" s="1" t="s">
        <x:v>25</x:v>
      </x:c>
      <x:c r="J9" s="15"/>
      <x:c r="K9" s="2" t="n">
        <x:f>$H$6</x:f>
        <x:v>46286</x:v>
      </x:c>
      <x:c r="L9" s="2" t="n">
        <x:f t="shared" ref="L9:AD9" si="0">K9+7</x:f>
        <x:v>46293</x:v>
      </x:c>
      <x:c r="M9" s="2" t="n">
        <x:f t="shared" si="0">L9+7</x:f>
        <x:v>46300</x:v>
      </x:c>
      <x:c r="N9" s="2" t="n">
        <x:f t="shared" si="0">M9+7</x:f>
        <x:v>46307</x:v>
      </x:c>
      <x:c r="O9" s="2" t="n">
        <x:f t="shared" si="0">N9+7</x:f>
        <x:v>46314</x:v>
      </x:c>
      <x:c r="P9" s="2" t="n">
        <x:f t="shared" si="0">O9+7</x:f>
        <x:v>46321</x:v>
      </x:c>
      <x:c r="Q9" s="2" t="n">
        <x:f t="shared" si="0">P9+7</x:f>
        <x:v>46328</x:v>
      </x:c>
      <x:c r="R9" s="2" t="n">
        <x:f t="shared" si="0">Q9+7</x:f>
        <x:v>46335</x:v>
      </x:c>
      <x:c r="S9" s="2" t="n">
        <x:f t="shared" si="0">R9+7</x:f>
        <x:v>46342</x:v>
      </x:c>
      <x:c r="T9" s="2" t="n">
        <x:f t="shared" si="0">S9+7</x:f>
        <x:v>46349</x:v>
      </x:c>
      <x:c r="U9" s="2" t="n">
        <x:f t="shared" si="0">T9+7</x:f>
        <x:v>46356</x:v>
      </x:c>
      <x:c r="V9" s="2" t="n">
        <x:f t="shared" si="0">U9+7</x:f>
        <x:v>46363</x:v>
      </x:c>
      <x:c r="W9" s="2" t="n">
        <x:f t="shared" si="0">V9+7</x:f>
        <x:v>46370</x:v>
      </x:c>
      <x:c r="X9" s="2" t="n">
        <x:f t="shared" si="0">W9+7</x:f>
        <x:v>46377</x:v>
      </x:c>
      <x:c r="Y9" s="2" t="n">
        <x:f t="shared" si="0">X9+7</x:f>
        <x:v>46384</x:v>
      </x:c>
      <x:c r="Z9" s="2" t="n">
        <x:f t="shared" si="0">Y9+7</x:f>
        <x:v>46391</x:v>
      </x:c>
      <x:c r="AA9" s="2" t="n">
        <x:f t="shared" si="0">Z9+7</x:f>
        <x:v>46398</x:v>
      </x:c>
      <x:c r="AB9" s="2" t="n">
        <x:f t="shared" si="0">AA9+7</x:f>
        <x:v>46405</x:v>
      </x:c>
      <x:c r="AC9" s="2" t="n">
        <x:f t="shared" si="0">AB9+7</x:f>
        <x:v>46412</x:v>
      </x:c>
      <x:c r="AD9" s="2" t="n">
        <x:f t="shared" si="0">AC9+7</x:f>
        <x:v>46419</x:v>
      </x:c>
    </x:row>
    <x:row r="10">
      <x:c r="B10" s="5" t="str">
        <x:v>Lecture rebuild</x:v>
      </x:c>
      <x:c r="C10" s="4" t="str">
        <x:v>01 Wprowadzenie do przedmiotu</x:v>
      </x:c>
      <x:c r="D10" s="7" t="str">
        <x:v>Mikołaj Leszczuk</x:v>
      </x:c>
      <x:c r="E10" s="7" t="str">
        <x:v>Complete</x:v>
      </x:c>
      <x:c r="F10" s="7" t="str">
        <x:v>P1</x:v>
      </x:c>
      <x:c r="G10" s="48" t="n">
        <x:v>46286</x:v>
      </x:c>
      <x:c r="H10" s="48" t="n">
        <x:v>46286</x:v>
      </x:c>
      <x:c r="I10" s="11" t="n">
        <x:f t="shared" ref="I10:I39" si="1">IF(OR(G10="",H10="",H10&lt;G10),"",H10-G10+1)</x:f>
        <x:v>1</x:v>
      </x:c>
      <x:c r="J10" s="15"/>
      <x:c r="K10" s="12" t="n">
        <x:f t="shared" ref="K10:T19" si="2">IF(OR($G10="",$H10="",$H10&lt;$G10),"",IF(AND(K$9&lt;=$H10,K$9+6&gt;=$G10),1,""))</x:f>
        <x:v>1</x:v>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x:c r="B11" s="6" t="str">
        <x:v>Lecture rebuild</x:v>
      </x:c>
      <x:c r="C11" s="3" t="str">
        <x:v>02 Co to jest telekomunikacja</x:v>
      </x:c>
      <x:c r="D11" s="8" t="str">
        <x:v>Mikołaj Leszczuk</x:v>
      </x:c>
      <x:c r="E11" s="8" t="str">
        <x:v>Complete</x:v>
      </x:c>
      <x:c r="F11" s="8" t="str">
        <x:v>P1</x:v>
      </x:c>
      <x:c r="G11" s="49" t="n">
        <x:v>46286</x:v>
      </x:c>
      <x:c r="H11" s="49" t="n">
        <x:v>46286</x:v>
      </x:c>
      <x:c r="I11" s="11" t="n">
        <x:f t="shared" si="1">IF(OR(G11="",H11="",H11&lt;G11),"",H11-G11+1)</x:f>
        <x:v>1</x:v>
      </x:c>
      <x:c r="J11" s="15"/>
      <x:c r="K11" s="12" t="n">
        <x:f t="shared" si="2">IF(OR($G11="",$H11="",$H11&lt;$G11),"",IF(AND(K$9&lt;=$H11,K$9+6&gt;=$G11),1,""))</x:f>
        <x:v>1</x:v>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x:c r="B12" s="5" t="str">
        <x:v>Lecture rebuild</x:v>
      </x:c>
      <x:c r="C12" s="4" t="str">
        <x:v>03 Podstawowe pojęcia, jednostki i ograniczenia</x:v>
      </x:c>
      <x:c r="D12" s="7" t="str">
        <x:v>Mikołaj Leszczuk</x:v>
      </x:c>
      <x:c r="E12" s="7" t="str">
        <x:v>Complete</x:v>
      </x:c>
      <x:c r="F12" s="7" t="str">
        <x:v>P1</x:v>
      </x:c>
      <x:c r="G12" s="48" t="n">
        <x:v>46286</x:v>
      </x:c>
      <x:c r="H12" s="48" t="n">
        <x:v>46286</x:v>
      </x:c>
      <x:c r="I12" s="11" t="n">
        <x:f t="shared" si="1">IF(OR(G12="",H12="",H12&lt;G12),"",H12-G12+1)</x:f>
        <x:v>1</x:v>
      </x:c>
      <x:c r="J12" s="15"/>
      <x:c r="K12" s="12" t="n">
        <x:f t="shared" si="2">IF(OR($G12="",$H12="",$H12&lt;$G12),"",IF(AND(K$9&lt;=$H12,K$9+6&gt;=$G12),1,""))</x:f>
        <x:v>1</x:v>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x:c r="B13" s="6" t="str">
        <x:v>Lecture rebuild</x:v>
      </x:c>
      <x:c r="C13" s="3" t="str">
        <x:v>04 Kable miedziane</x:v>
      </x:c>
      <x:c r="D13" s="8" t="str">
        <x:v>Mikołaj Leszczuk</x:v>
      </x:c>
      <x:c r="E13" s="8" t="str">
        <x:v>Complete</x:v>
      </x:c>
      <x:c r="F13" s="8" t="str">
        <x:v>P1</x:v>
      </x:c>
      <x:c r="G13" s="49" t="n">
        <x:v>46286</x:v>
      </x:c>
      <x:c r="H13" s="49" t="n">
        <x:v>46286</x:v>
      </x:c>
      <x:c r="I13" s="11" t="n">
        <x:f t="shared" si="1">IF(OR(G13="",H13="",H13&lt;G13),"",H13-G13+1)</x:f>
        <x:v>1</x:v>
      </x:c>
      <x:c r="J13" s="15"/>
      <x:c r="K13" s="12" t="n">
        <x:f t="shared" si="2">IF(OR($G13="",$H13="",$H13&lt;$G13),"",IF(AND(K$9&lt;=$H13,K$9+6&gt;=$G13),1,""))</x:f>
        <x:v>1</x:v>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x:c r="B14" s="5" t="str">
        <x:v>Lecture rebuild</x:v>
      </x:c>
      <x:c r="C14" s="4" t="str">
        <x:v>05 Kable światłowodowe</x:v>
      </x:c>
      <x:c r="D14" s="7" t="str">
        <x:v>Mikołaj Leszczuk</x:v>
      </x:c>
      <x:c r="E14" s="7" t="str">
        <x:v>Complete</x:v>
      </x:c>
      <x:c r="F14" s="7" t="str">
        <x:v>P1</x:v>
      </x:c>
      <x:c r="G14" s="48" t="n">
        <x:v>46286</x:v>
      </x:c>
      <x:c r="H14" s="48" t="n">
        <x:v>46286</x:v>
      </x:c>
      <x:c r="I14" s="11" t="n">
        <x:f t="shared" si="1">IF(OR(G14="",H14="",H14&lt;G14),"",H14-G14+1)</x:f>
        <x:v>1</x:v>
      </x:c>
      <x:c r="J14" s="15"/>
      <x:c r="K14" s="12" t="n">
        <x:f t="shared" si="2">IF(OR($G14="",$H14="",$H14&lt;$G14),"",IF(AND(K$9&lt;=$H14,K$9+6&gt;=$G14),1,""))</x:f>
        <x:v>1</x:v>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x:c r="B15" s="6" t="str">
        <x:v>Lecture rebuild</x:v>
      </x:c>
      <x:c r="C15" s="3" t="str">
        <x:v>06 Transmisja bezprzewodowa</x:v>
      </x:c>
      <x:c r="D15" s="8" t="str">
        <x:v>Mikołaj Leszczuk</x:v>
      </x:c>
      <x:c r="E15" s="8" t="str">
        <x:v>Complete</x:v>
      </x:c>
      <x:c r="F15" s="8" t="str">
        <x:v>P1</x:v>
      </x:c>
      <x:c r="G15" s="49" t="n">
        <x:v>46286</x:v>
      </x:c>
      <x:c r="H15" s="49" t="n">
        <x:v>46286</x:v>
      </x:c>
      <x:c r="I15" s="11" t="n">
        <x:f t="shared" si="1">IF(OR(G15="",H15="",H15&lt;G15),"",H15-G15+1)</x:f>
        <x:v>1</x:v>
      </x:c>
      <x:c r="J15" s="15"/>
      <x:c r="K15" s="12" t="n">
        <x:f t="shared" si="2">IF(OR($G15="",$H15="",$H15&lt;$G15),"",IF(AND(K$9&lt;=$H15,K$9+6&gt;=$G15),1,""))</x:f>
        <x:v>1</x:v>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x:c r="B16" s="5" t="str">
        <x:v>Lecture rebuild</x:v>
      </x:c>
      <x:c r="C16" s="4" t="str">
        <x:v>07 Systemy dostępu wielokrotnego</x:v>
      </x:c>
      <x:c r="D16" s="7" t="str">
        <x:v>Mikołaj Leszczuk</x:v>
      </x:c>
      <x:c r="E16" s="7" t="str">
        <x:v>Complete</x:v>
      </x:c>
      <x:c r="F16" s="7" t="str">
        <x:v>P1</x:v>
      </x:c>
      <x:c r="G16" s="48" t="n">
        <x:v>46286</x:v>
      </x:c>
      <x:c r="H16" s="48" t="n">
        <x:v>46286</x:v>
      </x:c>
      <x:c r="I16" s="11" t="n">
        <x:f t="shared" si="1">IF(OR(G16="",H16="",H16&lt;G16),"",H16-G16+1)</x:f>
        <x:v>1</x:v>
      </x:c>
      <x:c r="J16" s="15"/>
      <x:c r="K16" s="12" t="n">
        <x:f t="shared" si="2">IF(OR($G16="",$H16="",$H16&lt;$G16),"",IF(AND(K$9&lt;=$H16,K$9+6&gt;=$G16),1,""))</x:f>
        <x:v>1</x:v>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x:c r="B17" s="6" t="str">
        <x:v>Lecture rebuild</x:v>
      </x:c>
      <x:c r="C17" s="3" t="str">
        <x:v>08 Kodowanie sygnałów</x:v>
      </x:c>
      <x:c r="D17" s="8" t="str">
        <x:v>Mikołaj Leszczuk</x:v>
      </x:c>
      <x:c r="E17" s="8" t="str">
        <x:v>Complete</x:v>
      </x:c>
      <x:c r="F17" s="8" t="str">
        <x:v>P1</x:v>
      </x:c>
      <x:c r="G17" s="49" t="n">
        <x:v>46286</x:v>
      </x:c>
      <x:c r="H17" s="49" t="n">
        <x:v>46286</x:v>
      </x:c>
      <x:c r="I17" s="11" t="n">
        <x:f t="shared" si="1">IF(OR(G17="",H17="",H17&lt;G17),"",H17-G17+1)</x:f>
        <x:v>1</x:v>
      </x:c>
      <x:c r="J17" s="15"/>
      <x:c r="K17" s="12" t="n">
        <x:f t="shared" si="2">IF(OR($G17="",$H17="",$H17&lt;$G17),"",IF(AND(K$9&lt;=$H17,K$9+6&gt;=$G17),1,""))</x:f>
        <x:v>1</x:v>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x:c r="B18" s="5" t="str">
        <x:v>Lecture rebuild</x:v>
      </x:c>
      <x:c r="C18" s="4" t="str">
        <x:v>09 Podstawowe zagadnienia sieciowe</x:v>
      </x:c>
      <x:c r="D18" s="7" t="str">
        <x:v>Mikołaj Leszczuk</x:v>
      </x:c>
      <x:c r="E18" s="7" t="str">
        <x:v>Complete</x:v>
      </x:c>
      <x:c r="F18" s="7" t="str">
        <x:v>P1</x:v>
      </x:c>
      <x:c r="G18" s="48" t="n">
        <x:v>46286</x:v>
      </x:c>
      <x:c r="H18" s="48" t="n">
        <x:v>46286</x:v>
      </x:c>
      <x:c r="I18" s="11" t="n">
        <x:f t="shared" si="1">IF(OR(G18="",H18="",H18&lt;G18),"",H18-G18+1)</x:f>
        <x:v>1</x:v>
      </x:c>
      <x:c r="J18" s="15"/>
      <x:c r="K18" s="12" t="n">
        <x:f t="shared" si="2">IF(OR($G18="",$H18="",$H18&lt;$G18),"",IF(AND(K$9&lt;=$H18,K$9+6&gt;=$G18),1,""))</x:f>
        <x:v>1</x:v>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x:c r="B19" s="6" t="str">
        <x:v>Lecture rebuild</x:v>
      </x:c>
      <x:c r="C19" s="3" t="str">
        <x:v>10 Routing: algorytmy</x:v>
      </x:c>
      <x:c r="D19" s="8" t="str">
        <x:v>Mikołaj Leszczuk</x:v>
      </x:c>
      <x:c r="E19" s="8" t="str">
        <x:v>Complete</x:v>
      </x:c>
      <x:c r="F19" s="8" t="str">
        <x:v>P1</x:v>
      </x:c>
      <x:c r="G19" s="49" t="n">
        <x:v>46286</x:v>
      </x:c>
      <x:c r="H19" s="49" t="n">
        <x:v>46286</x:v>
      </x:c>
      <x:c r="I19" s="11" t="n">
        <x:f t="shared" si="1">IF(OR(G19="",H19="",H19&lt;G19),"",H19-G19+1)</x:f>
        <x:v>1</x:v>
      </x:c>
      <x:c r="J19" s="15"/>
      <x:c r="K19" s="12" t="n">
        <x:f t="shared" si="2">IF(OR($G19="",$H19="",$H19&lt;$G19),"",IF(AND(K$9&lt;=$H19,K$9+6&gt;=$G19),1,""))</x:f>
        <x:v>1</x:v>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x:c r="B20" s="5" t="str">
        <x:v>Lecture rebuild</x:v>
      </x:c>
      <x:c r="C20" s="4" t="str">
        <x:v>11 Routing: protokoły</x:v>
      </x:c>
      <x:c r="D20" s="7" t="str">
        <x:v>Mikołaj Leszczuk</x:v>
      </x:c>
      <x:c r="E20" s="7" t="str">
        <x:v>Complete</x:v>
      </x:c>
      <x:c r="F20" s="7" t="str">
        <x:v>P1</x:v>
      </x:c>
      <x:c r="G20" s="48" t="n">
        <x:v>46286</x:v>
      </x:c>
      <x:c r="H20" s="48" t="n">
        <x:v>46286</x:v>
      </x:c>
      <x:c r="I20" s="11" t="n">
        <x:f t="shared" si="1">IF(OR(G20="",H20="",H20&lt;G20),"",H20-G20+1)</x:f>
        <x:v>1</x:v>
      </x:c>
      <x:c r="J20" s="15"/>
      <x:c r="K20" s="12" t="n">
        <x:f t="shared" ref="K20:T29" si="4">IF(OR($G20="",$H20="",$H20&lt;$G20),"",IF(AND(K$9&lt;=$H20,K$9+6&gt;=$G20),1,""))</x:f>
        <x:v>1</x:v>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x:c r="B21" s="6" t="str">
        <x:v>Quality review</x:v>
      </x:c>
      <x:c r="C21" s="3" t="str">
        <x:v>Detailed lecture-by-lecture review</x:v>
      </x:c>
      <x:c r="D21" s="8" t="str">
        <x:v>Mikołaj Leszczuk</x:v>
      </x:c>
      <x:c r="E21" s="8" t="str">
        <x:v>Not Started</x:v>
      </x:c>
      <x:c r="F21" s="8" t="str">
        <x:v>P1</x:v>
      </x:c>
      <x:c r="G21" s="49"/>
      <x:c r="H21" s="49"/>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x:c r="B22" s="5"/>
      <x:c r="C22" s="4"/>
      <x:c r="D22" s="7"/>
      <x:c r="E22" s="7"/>
      <x:c r="F22" s="7"/>
      <x:c r="G22" s="48"/>
      <x:c r="H22" s="4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x:c r="B23" s="6"/>
      <x:c r="C23" s="3"/>
      <x:c r="D23" s="8"/>
      <x:c r="E23" s="8"/>
      <x:c r="F23" s="8"/>
      <x:c r="G23" s="49"/>
      <x:c r="H23" s="49"/>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x:c r="B24" s="5"/>
      <x:c r="C24" s="4"/>
      <x:c r="D24" s="7"/>
      <x:c r="E24" s="7"/>
      <x:c r="F24" s="7"/>
      <x:c r="G24" s="48"/>
      <x:c r="H24" s="4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x:c r="B25" s="6"/>
      <x:c r="C25" s="3"/>
      <x:c r="D25" s="8"/>
      <x:c r="E25" s="8"/>
      <x:c r="F25" s="8"/>
      <x:c r="G25" s="49"/>
      <x:c r="H25" s="49"/>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x:c r="B26" s="5"/>
      <x:c r="C26" s="4"/>
      <x:c r="D26" s="7"/>
      <x:c r="E26" s="7"/>
      <x:c r="F26" s="7"/>
      <x:c r="G26" s="48"/>
      <x:c r="H26" s="4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x:c r="B27" s="6"/>
      <x:c r="C27" s="3"/>
      <x:c r="D27" s="8"/>
      <x:c r="E27" s="8"/>
      <x:c r="F27" s="8"/>
      <x:c r="G27" s="49"/>
      <x:c r="H27" s="49"/>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x:c r="B28" s="5"/>
      <x:c r="C28" s="4"/>
      <x:c r="D28" s="7"/>
      <x:c r="E28" s="7"/>
      <x:c r="F28" s="7"/>
      <x:c r="G28" s="48"/>
      <x:c r="H28" s="4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x:c r="B29" s="6"/>
      <x:c r="C29" s="3"/>
      <x:c r="D29" s="8"/>
      <x:c r="E29" s="8"/>
      <x:c r="F29" s="8"/>
      <x:c r="G29" s="49"/>
      <x:c r="H29" s="49"/>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x:c r="B30" s="5"/>
      <x:c r="C30" s="4"/>
      <x:c r="D30" s="7"/>
      <x:c r="E30" s="7"/>
      <x:c r="F30" s="7"/>
      <x:c r="G30" s="48"/>
      <x:c r="H30" s="4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x:c r="B31" s="6"/>
      <x:c r="C31" s="3"/>
      <x:c r="D31" s="8"/>
      <x:c r="E31" s="8"/>
      <x:c r="F31" s="8"/>
      <x:c r="G31" s="50"/>
      <x:c r="H31" s="50"/>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x:c r="B32" s="5"/>
      <x:c r="C32" s="4"/>
      <x:c r="D32" s="7"/>
      <x:c r="E32" s="7"/>
      <x:c r="F32" s="7"/>
      <x:c r="G32" s="51"/>
      <x:c r="H32" s="51"/>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x:c r="B33" s="6"/>
      <x:c r="C33" s="3"/>
      <x:c r="D33" s="8"/>
      <x:c r="E33" s="8"/>
      <x:c r="F33" s="8"/>
      <x:c r="G33" s="50"/>
      <x:c r="H33" s="50"/>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x:c r="B34" s="5"/>
      <x:c r="C34" s="4"/>
      <x:c r="D34" s="7"/>
      <x:c r="E34" s="7"/>
      <x:c r="F34" s="7"/>
      <x:c r="G34" s="51"/>
      <x:c r="H34" s="51"/>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x:c r="B35" s="6"/>
      <x:c r="C35" s="3"/>
      <x:c r="D35" s="8"/>
      <x:c r="E35" s="8"/>
      <x:c r="F35" s="8"/>
      <x:c r="G35" s="50"/>
      <x:c r="H35" s="50"/>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x:c r="B36" s="5"/>
      <x:c r="C36" s="4"/>
      <x:c r="D36" s="7"/>
      <x:c r="E36" s="7"/>
      <x:c r="F36" s="7"/>
      <x:c r="G36" s="51"/>
      <x:c r="H36" s="51"/>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x:c r="B37" s="6"/>
      <x:c r="C37" s="3"/>
      <x:c r="D37" s="8"/>
      <x:c r="E37" s="8"/>
      <x:c r="F37" s="8"/>
      <x:c r="G37" s="50"/>
      <x:c r="H37" s="50"/>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x:c r="B38" s="5"/>
      <x:c r="C38" s="4"/>
      <x:c r="D38" s="7"/>
      <x:c r="E38" s="7"/>
      <x:c r="F38" s="7"/>
      <x:c r="G38" s="51"/>
      <x:c r="H38" s="51"/>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x:c r="B39" s="6"/>
      <x:c r="C39" s="3"/>
      <x:c r="D39" s="8"/>
      <x:c r="E39" s="8"/>
      <x:c r="F39" s="8"/>
      <x:c r="G39" s="50"/>
      <x:c r="H39" s="50"/>
      <x:c r="I39" s="11" t="str">
        <x:f t="shared" si="1">IF(OR(G39="",H39="",H39&lt;G39),"",H39-G39+1)</x:f>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29" t="s">
        <x:v>26</x:v>
      </x:c>
      <x:c r="C41" s="30" t="s">
        <x:v>27</x:v>
      </x:c>
      <x:c r="D41" s="30" t="s">
        <x:v>27</x:v>
      </x:c>
      <x:c r="E41" s="30" t="s">
        <x:v>27</x:v>
      </x:c>
      <x:c r="F41" s="30" t="s">
        <x:v>27</x:v>
      </x:c>
      <x:c r="G41" s="30" t="s">
        <x:v>27</x:v>
      </x:c>
      <x:c r="H41" s="30" t="s">
        <x:v>27</x:v>
      </x:c>
      <x:c r="I41" s="30" t="s">
        <x:v>27</x:v>
      </x:c>
      <x:c r="J41" s="30" t="s">
        <x:v>27</x:v>
      </x:c>
      <x:c r="K41" s="30" t="s">
        <x:v>27</x:v>
      </x:c>
      <x:c r="L41" s="30" t="s">
        <x:v>27</x:v>
      </x:c>
      <x:c r="M41" s="30" t="s">
        <x:v>27</x:v>
      </x:c>
      <x:c r="N41" s="30" t="s">
        <x:v>27</x:v>
      </x:c>
      <x:c r="O41" s="30" t="s">
        <x:v>27</x:v>
      </x:c>
      <x:c r="P41" s="30" t="s">
        <x:v>27</x:v>
      </x:c>
      <x:c r="Q41" s="30" t="s">
        <x:v>27</x:v>
      </x:c>
      <x:c r="R41" s="30" t="s">
        <x:v>27</x:v>
      </x:c>
      <x:c r="S41" s="30" t="s">
        <x:v>27</x:v>
      </x:c>
      <x:c r="T41" s="30" t="s">
        <x:v>27</x:v>
      </x:c>
      <x:c r="U41" s="30" t="s">
        <x:v>27</x:v>
      </x:c>
      <x:c r="V41" s="30" t="s">
        <x:v>27</x:v>
      </x:c>
      <x:c r="W41" s="30" t="s">
        <x:v>27</x:v>
      </x:c>
      <x:c r="X41" s="30" t="s">
        <x:v>27</x:v>
      </x:c>
      <x:c r="Y41" s="30" t="s">
        <x:v>27</x:v>
      </x:c>
      <x:c r="Z41" s="30" t="s">
        <x:v>27</x:v>
      </x:c>
      <x:c r="AA41" s="30" t="s">
        <x:v>27</x:v>
      </x:c>
      <x:c r="AB41" s="30" t="s">
        <x:v>27</x:v>
      </x:c>
      <x:c r="AC41" s="30" t="s">
        <x:v>27</x:v>
      </x:c>
      <x:c r="AD41" s="31" t="s">
        <x:v>27</x:v>
      </x:c>
    </x:row>
    <x:row r="42" ht="24" customHeight="1">
      <x:c r="B42" s="32" t="s">
        <x:v>27</x:v>
      </x:c>
      <x:c r="C42" s="33" t="s">
        <x:v>27</x:v>
      </x:c>
      <x:c r="D42" s="33" t="s">
        <x:v>27</x:v>
      </x:c>
      <x:c r="E42" s="33" t="s">
        <x:v>27</x:v>
      </x:c>
      <x:c r="F42" s="33" t="s">
        <x:v>27</x:v>
      </x:c>
      <x:c r="G42" s="33" t="s">
        <x:v>27</x:v>
      </x:c>
      <x:c r="H42" s="33" t="s">
        <x:v>27</x:v>
      </x:c>
      <x:c r="I42" s="33" t="s">
        <x:v>27</x:v>
      </x:c>
      <x:c r="J42" s="33" t="s">
        <x:v>27</x:v>
      </x:c>
      <x:c r="K42" s="33" t="s">
        <x:v>27</x:v>
      </x:c>
      <x:c r="L42" s="33" t="s">
        <x:v>27</x:v>
      </x:c>
      <x:c r="M42" s="33" t="s">
        <x:v>27</x:v>
      </x:c>
      <x:c r="N42" s="33" t="s">
        <x:v>27</x:v>
      </x:c>
      <x:c r="O42" s="33" t="s">
        <x:v>27</x:v>
      </x:c>
      <x:c r="P42" s="33" t="s">
        <x:v>27</x:v>
      </x:c>
      <x:c r="Q42" s="33" t="s">
        <x:v>27</x:v>
      </x:c>
      <x:c r="R42" s="33" t="s">
        <x:v>27</x:v>
      </x:c>
      <x:c r="S42" s="33" t="s">
        <x:v>27</x:v>
      </x:c>
      <x:c r="T42" s="33" t="s">
        <x:v>27</x:v>
      </x:c>
      <x:c r="U42" s="33" t="s">
        <x:v>27</x:v>
      </x:c>
      <x:c r="V42" s="33" t="s">
        <x:v>27</x:v>
      </x:c>
      <x:c r="W42" s="33" t="s">
        <x:v>27</x:v>
      </x:c>
      <x:c r="X42" s="33" t="s">
        <x:v>27</x:v>
      </x:c>
      <x:c r="Y42" s="33" t="s">
        <x:v>27</x:v>
      </x:c>
      <x:c r="Z42" s="33" t="s">
        <x:v>27</x:v>
      </x:c>
      <x:c r="AA42" s="33" t="s">
        <x:v>27</x:v>
      </x:c>
      <x:c r="AB42" s="33" t="s">
        <x:v>27</x:v>
      </x:c>
      <x:c r="AC42" s="33" t="s">
        <x:v>27</x:v>
      </x:c>
      <x:c r="AD42" s="34" t="s">
        <x:v>27</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"Product,Engineering,Design,Growth,Support &amp; Ops,Legal &amp; Security"</x:formula1>
    </x:dataValidation>
    <x:dataValidation type="list" sqref="D10:D39">
      <x:formula1>"Maya Chen,Lena Ortiz,Noah Patel,Ravi Singh,Ivy Park,Sofia Reed,Miles Grant,Ava Brooks,Ethan Cole"</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